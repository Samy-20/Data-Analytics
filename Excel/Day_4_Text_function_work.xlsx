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  <sheet state="visible" name="Pivot Table 1" sheetId="3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<sst xmlns="http://schemas.openxmlformats.org/spreadsheetml/2006/main" count="114" uniqueCount="42">
  <si>
    <t>OrderID</t>
  </si>
  <si>
    <t>Date</t>
  </si>
  <si>
    <t>Customer</t>
  </si>
  <si>
    <t>Region</t>
  </si>
  <si>
    <t>Product</t>
  </si>
  <si>
    <t>Category</t>
  </si>
  <si>
    <t>Quantity</t>
  </si>
  <si>
    <t>UnitPrice</t>
  </si>
  <si>
    <t>Sales</t>
  </si>
  <si>
    <t>Bulk/Small</t>
  </si>
  <si>
    <t>Manager</t>
  </si>
  <si>
    <t>LEFT_FUNCTION</t>
  </si>
  <si>
    <t>RIGHT_FUNCTION</t>
  </si>
  <si>
    <t>MID_FUNCTION</t>
  </si>
  <si>
    <t>TRIM_FUNCTION</t>
  </si>
  <si>
    <t>CONCATENATE</t>
  </si>
  <si>
    <t>Aarav Shah</t>
  </si>
  <si>
    <t>West</t>
  </si>
  <si>
    <t>Notebook</t>
  </si>
  <si>
    <t>Stationery</t>
  </si>
  <si>
    <t>North</t>
  </si>
  <si>
    <t>Ritu Sharma</t>
  </si>
  <si>
    <t>Meera Iyer</t>
  </si>
  <si>
    <t>South</t>
  </si>
  <si>
    <t>Pen</t>
  </si>
  <si>
    <t>Arjun Verma</t>
  </si>
  <si>
    <t>Rohan Patel</t>
  </si>
  <si>
    <t>Desk Lamp</t>
  </si>
  <si>
    <t>Electronics</t>
  </si>
  <si>
    <t>East</t>
  </si>
  <si>
    <t>Farah Khan</t>
  </si>
  <si>
    <t>Sneha Rao</t>
  </si>
  <si>
    <t>Devansh Rao</t>
  </si>
  <si>
    <t>Vikram Singh</t>
  </si>
  <si>
    <t>Backpack</t>
  </si>
  <si>
    <t>Accessories</t>
  </si>
  <si>
    <t>Priya Nair</t>
  </si>
  <si>
    <t>Kabir Mehta</t>
  </si>
  <si>
    <t>SUM of Sales</t>
  </si>
  <si>
    <t>Bulk</t>
  </si>
  <si>
    <t>Small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</si>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</sst>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rgb="FFCCCCCC"/>
      <name val="Arial"/>
    </font>
    <font>
      <color rgb="FFCCCCCC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1" numFmtId="0" xfId="0" applyAlignment="1" applyFont="1">
      <alignment horizontal="right" vertical="bottom"/>
    </xf>
    <xf borderId="0" fillId="2" fontId="1" numFmtId="164" xfId="0" applyAlignment="1" applyFont="1" applyNumberFormat="1">
      <alignment horizontal="right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1" sheet="Sheet1"/>
  </cacheSource>
  <cacheFields>
    <cacheField name="Order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Date" numFmtId="164">
      <sharedItems containsSemiMixedTypes="0" containsDate="1" containsString="0"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</sharedItems>
    </cacheField>
    <cacheField name="Customer" numFmtId="0">
      <sharedItems>
        <s v="Aarav Shah"/>
        <s v="Meera Iyer"/>
        <s v="Rohan Patel"/>
        <s v="Sneha Rao"/>
        <s v="Vikram Singh"/>
        <s v="Priya Nair"/>
        <s v="Kabir Mehta"/>
      </sharedItems>
    </cacheField>
    <cacheField name="Region" numFmtId="0">
      <sharedItems>
        <s v="West"/>
        <s v="South"/>
        <s v="North"/>
        <s v="East"/>
      </sharedItems>
    </cacheField>
    <cacheField name="Product" numFmtId="0">
      <sharedItems>
        <s v="Notebook"/>
        <s v="Pen"/>
        <s v="Desk Lamp"/>
        <s v="Backpack"/>
      </sharedItems>
    </cacheField>
    <cacheField name="Category" numFmtId="0">
      <sharedItems>
        <s v="Stationery"/>
        <s v="Electronics"/>
        <s v="Accessories"/>
      </sharedItems>
    </cacheField>
    <cacheField name="Quantity" numFmtId="0">
      <sharedItems containsSemiMixedTypes="0" containsString="0" containsNumber="1" containsInteger="1">
        <n v="10.0"/>
        <n v="25.0"/>
        <n v="3.0"/>
        <n v="15.0"/>
        <n v="2.0"/>
        <n v="50.0"/>
        <n v="4.0"/>
        <n v="20.0"/>
        <n v="1.0"/>
        <n v="30.0"/>
        <n v="12.0"/>
        <n v="40.0"/>
        <n v="18.0"/>
        <n v="35.0"/>
        <n v="5.0"/>
        <n v="22.0"/>
      </sharedItems>
    </cacheField>
    <cacheField name="UnitPrice" numFmtId="0">
      <sharedItems containsSemiMixedTypes="0" containsString="0" containsNumber="1" containsInteger="1">
        <n v="45.0"/>
        <n v="10.0"/>
        <n v="600.0"/>
        <n v="900.0"/>
      </sharedItems>
    </cacheField>
    <cacheField name="Sales" numFmtId="0">
      <sharedItems containsSemiMixedTypes="0" containsString="0" containsNumber="1" containsInteger="1">
        <n v="450.0"/>
        <n v="250.0"/>
        <n v="1800.0"/>
        <n v="675.0"/>
        <n v="500.0"/>
        <n v="2400.0"/>
        <n v="900.0"/>
        <n v="300.0"/>
        <n v="1200.0"/>
        <n v="540.0"/>
        <n v="2700.0"/>
        <n v="400.0"/>
        <n v="600.0"/>
        <n v="810.0"/>
        <n v="350.0"/>
        <n v="3000.0"/>
        <n v="990.0"/>
      </sharedItems>
    </cacheField>
    <cacheField name="Bulk/Small" numFmtId="0">
      <sharedItems>
        <s v="Small"/>
        <s v="Bulk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1:J22" sheet="Sheet1"/>
  </cacheSource>
  <cacheFields>
    <cacheField name="Bulk/Small" numFmtId="0">
      <sharedItems containsBlank="1">
        <s v="Small"/>
        <s v="Bulk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Bulk/Small" axis="axisRow" compact="0" outline="0" multipleItemSelectionAllowed="1" showAll="0" sortType="ascending">
      <items>
        <item x="1"/>
        <item x="0"/>
        <item t="default"/>
      </items>
    </pivotField>
  </pivotFields>
  <rowFields>
    <field x="9"/>
  </rowFields>
  <dataFields>
    <dataField name="SUM of Sales" fld="8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1:B5" firstHeaderRow="0" firstDataRow="1" firstDataCol="0"/>
  <pivotFields>
    <pivotField name="Bulk/Small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 t="s">
        <v>3</v>
      </c>
      <c r="M1" s="2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2"/>
      <c r="T1" s="2"/>
      <c r="U1" s="2"/>
      <c r="V1" s="2"/>
      <c r="W1" s="2"/>
      <c r="X1" s="2"/>
      <c r="Y1" s="2"/>
      <c r="Z1" s="2"/>
    </row>
    <row r="2" ht="15.75" customHeight="1">
      <c r="A2" s="4">
        <v>1001.0</v>
      </c>
      <c r="B2" s="5">
        <v>45294.0</v>
      </c>
      <c r="C2" s="1" t="s">
        <v>16</v>
      </c>
      <c r="D2" s="1" t="s">
        <v>17</v>
      </c>
      <c r="E2" s="1" t="s">
        <v>18</v>
      </c>
      <c r="F2" s="1" t="s">
        <v>19</v>
      </c>
      <c r="G2" s="4">
        <v>10.0</v>
      </c>
      <c r="H2" s="4">
        <v>45.0</v>
      </c>
      <c r="I2" s="4">
        <v>450.0</v>
      </c>
      <c r="J2" s="4" t="str">
        <f t="shared" ref="J2:J21" si="1">if(G2&gt;10, "Bulk", "Small")</f>
        <v>Small</v>
      </c>
      <c r="K2" s="2"/>
      <c r="L2" s="2" t="s">
        <v>20</v>
      </c>
      <c r="M2" s="2" t="s">
        <v>21</v>
      </c>
      <c r="N2" s="2" t="str">
        <f t="shared" ref="N2:N21" si="2">LEFT(C2,3)</f>
        <v>Aar</v>
      </c>
      <c r="O2" s="2" t="str">
        <f t="shared" ref="O2:O21" si="3">RIGHT(C2,5)</f>
        <v> Shah</v>
      </c>
      <c r="P2" s="2" t="str">
        <f t="shared" ref="P2:P21" si="4">MID(C2,2,7)</f>
        <v>arav Sh</v>
      </c>
      <c r="Q2" s="2" t="str">
        <f t="shared" ref="Q2:Q21" si="5">TRIM(C2)</f>
        <v>Aarav Shah</v>
      </c>
      <c r="R2" s="2" t="str">
        <f t="shared" ref="R2:R21" si="6">E2&amp;" - "&amp;F2</f>
        <v>Notebook - Stationery</v>
      </c>
      <c r="S2" s="2"/>
      <c r="T2" s="2"/>
      <c r="U2" s="2"/>
      <c r="V2" s="2"/>
      <c r="W2" s="2"/>
      <c r="X2" s="2"/>
      <c r="Y2" s="2"/>
      <c r="Z2" s="2"/>
    </row>
    <row r="3" ht="15.75" customHeight="1">
      <c r="A3" s="4">
        <v>1002.0</v>
      </c>
      <c r="B3" s="5">
        <v>45295.0</v>
      </c>
      <c r="C3" s="1" t="s">
        <v>22</v>
      </c>
      <c r="D3" s="1" t="s">
        <v>23</v>
      </c>
      <c r="E3" s="1" t="s">
        <v>24</v>
      </c>
      <c r="F3" s="1" t="s">
        <v>19</v>
      </c>
      <c r="G3" s="4">
        <v>25.0</v>
      </c>
      <c r="H3" s="4">
        <v>10.0</v>
      </c>
      <c r="I3" s="4">
        <v>250.0</v>
      </c>
      <c r="J3" s="4" t="str">
        <f t="shared" si="1"/>
        <v>Bulk</v>
      </c>
      <c r="K3" s="2"/>
      <c r="L3" s="2" t="s">
        <v>23</v>
      </c>
      <c r="M3" s="2" t="s">
        <v>25</v>
      </c>
      <c r="N3" s="2" t="str">
        <f t="shared" si="2"/>
        <v>Mee</v>
      </c>
      <c r="O3" s="2" t="str">
        <f t="shared" si="3"/>
        <v> Iyer</v>
      </c>
      <c r="P3" s="2" t="str">
        <f t="shared" si="4"/>
        <v>eera Iy</v>
      </c>
      <c r="Q3" s="2" t="str">
        <f t="shared" si="5"/>
        <v>Meera Iyer</v>
      </c>
      <c r="R3" s="2" t="str">
        <f t="shared" si="6"/>
        <v>Pen - Stationery</v>
      </c>
      <c r="S3" s="2"/>
      <c r="T3" s="2"/>
      <c r="U3" s="2"/>
      <c r="V3" s="2"/>
      <c r="W3" s="2"/>
      <c r="X3" s="2"/>
      <c r="Y3" s="2"/>
      <c r="Z3" s="2"/>
    </row>
    <row r="4" ht="15.75" customHeight="1">
      <c r="A4" s="4">
        <v>1003.0</v>
      </c>
      <c r="B4" s="5">
        <v>45296.0</v>
      </c>
      <c r="C4" s="1" t="s">
        <v>26</v>
      </c>
      <c r="D4" s="1" t="s">
        <v>20</v>
      </c>
      <c r="E4" s="1" t="s">
        <v>27</v>
      </c>
      <c r="F4" s="1" t="s">
        <v>28</v>
      </c>
      <c r="G4" s="4">
        <v>3.0</v>
      </c>
      <c r="H4" s="4">
        <v>600.0</v>
      </c>
      <c r="I4" s="4">
        <v>1800.0</v>
      </c>
      <c r="J4" s="4" t="str">
        <f t="shared" si="1"/>
        <v>Small</v>
      </c>
      <c r="K4" s="2"/>
      <c r="L4" s="2" t="s">
        <v>29</v>
      </c>
      <c r="M4" s="2" t="s">
        <v>30</v>
      </c>
      <c r="N4" s="2" t="str">
        <f t="shared" si="2"/>
        <v>Roh</v>
      </c>
      <c r="O4" s="2" t="str">
        <f t="shared" si="3"/>
        <v>Patel</v>
      </c>
      <c r="P4" s="2" t="str">
        <f t="shared" si="4"/>
        <v>ohan Pa</v>
      </c>
      <c r="Q4" s="2" t="str">
        <f t="shared" si="5"/>
        <v>Rohan Patel</v>
      </c>
      <c r="R4" s="2" t="str">
        <f t="shared" si="6"/>
        <v>Desk Lamp - Electronics</v>
      </c>
      <c r="S4" s="2"/>
      <c r="T4" s="2"/>
      <c r="U4" s="2"/>
      <c r="V4" s="2"/>
      <c r="W4" s="2"/>
      <c r="X4" s="2"/>
      <c r="Y4" s="2"/>
      <c r="Z4" s="2"/>
    </row>
    <row r="5" ht="15.75" customHeight="1">
      <c r="A5" s="4">
        <v>1004.0</v>
      </c>
      <c r="B5" s="5">
        <v>45297.0</v>
      </c>
      <c r="C5" s="1" t="s">
        <v>31</v>
      </c>
      <c r="D5" s="1" t="s">
        <v>17</v>
      </c>
      <c r="E5" s="1" t="s">
        <v>18</v>
      </c>
      <c r="F5" s="1" t="s">
        <v>19</v>
      </c>
      <c r="G5" s="4">
        <v>15.0</v>
      </c>
      <c r="H5" s="4">
        <v>45.0</v>
      </c>
      <c r="I5" s="4">
        <v>675.0</v>
      </c>
      <c r="J5" s="4" t="str">
        <f t="shared" si="1"/>
        <v>Bulk</v>
      </c>
      <c r="K5" s="2"/>
      <c r="L5" s="2" t="s">
        <v>17</v>
      </c>
      <c r="M5" s="2" t="s">
        <v>32</v>
      </c>
      <c r="N5" s="2" t="str">
        <f t="shared" si="2"/>
        <v>Sne</v>
      </c>
      <c r="O5" s="2" t="str">
        <f t="shared" si="3"/>
        <v>a Rao</v>
      </c>
      <c r="P5" s="2" t="str">
        <f t="shared" si="4"/>
        <v>neha Ra</v>
      </c>
      <c r="Q5" s="2" t="str">
        <f t="shared" si="5"/>
        <v>Sneha Rao</v>
      </c>
      <c r="R5" s="2" t="str">
        <f t="shared" si="6"/>
        <v>Notebook - Stationery</v>
      </c>
      <c r="S5" s="2"/>
      <c r="T5" s="2"/>
      <c r="U5" s="2"/>
      <c r="V5" s="2"/>
      <c r="W5" s="2"/>
      <c r="X5" s="2"/>
      <c r="Y5" s="2"/>
      <c r="Z5" s="2"/>
    </row>
    <row r="6" ht="15.75" customHeight="1">
      <c r="A6" s="4">
        <v>1005.0</v>
      </c>
      <c r="B6" s="5">
        <v>45298.0</v>
      </c>
      <c r="C6" s="1" t="s">
        <v>33</v>
      </c>
      <c r="D6" s="1" t="s">
        <v>29</v>
      </c>
      <c r="E6" s="1" t="s">
        <v>34</v>
      </c>
      <c r="F6" s="1" t="s">
        <v>35</v>
      </c>
      <c r="G6" s="4">
        <v>2.0</v>
      </c>
      <c r="H6" s="4">
        <v>900.0</v>
      </c>
      <c r="I6" s="4">
        <v>1800.0</v>
      </c>
      <c r="J6" s="4" t="str">
        <f t="shared" si="1"/>
        <v>Small</v>
      </c>
      <c r="K6" s="2"/>
      <c r="L6" s="2"/>
      <c r="M6" s="2"/>
      <c r="N6" s="2" t="str">
        <f t="shared" si="2"/>
        <v>Vik</v>
      </c>
      <c r="O6" s="2" t="str">
        <f t="shared" si="3"/>
        <v>Singh</v>
      </c>
      <c r="P6" s="2" t="str">
        <f t="shared" si="4"/>
        <v>ikram S</v>
      </c>
      <c r="Q6" s="2" t="str">
        <f t="shared" si="5"/>
        <v>Vikram Singh</v>
      </c>
      <c r="R6" s="2" t="str">
        <f t="shared" si="6"/>
        <v>Backpack - Accessories</v>
      </c>
      <c r="S6" s="2"/>
      <c r="T6" s="2"/>
      <c r="U6" s="2"/>
      <c r="V6" s="2"/>
      <c r="W6" s="2"/>
      <c r="X6" s="2"/>
      <c r="Y6" s="2"/>
      <c r="Z6" s="2"/>
    </row>
    <row r="7" ht="15.75" customHeight="1">
      <c r="A7" s="4">
        <v>1006.0</v>
      </c>
      <c r="B7" s="5">
        <v>45299.0</v>
      </c>
      <c r="C7" s="1" t="s">
        <v>16</v>
      </c>
      <c r="D7" s="1" t="s">
        <v>17</v>
      </c>
      <c r="E7" s="1" t="s">
        <v>24</v>
      </c>
      <c r="F7" s="1" t="s">
        <v>19</v>
      </c>
      <c r="G7" s="4">
        <v>50.0</v>
      </c>
      <c r="H7" s="4">
        <v>10.0</v>
      </c>
      <c r="I7" s="4">
        <v>500.0</v>
      </c>
      <c r="J7" s="4" t="str">
        <f t="shared" si="1"/>
        <v>Bulk</v>
      </c>
      <c r="K7" s="2"/>
      <c r="L7" s="2"/>
      <c r="M7" s="2"/>
      <c r="N7" s="2" t="str">
        <f t="shared" si="2"/>
        <v>Aar</v>
      </c>
      <c r="O7" s="2" t="str">
        <f t="shared" si="3"/>
        <v> Shah</v>
      </c>
      <c r="P7" s="2" t="str">
        <f t="shared" si="4"/>
        <v>arav Sh</v>
      </c>
      <c r="Q7" s="2" t="str">
        <f t="shared" si="5"/>
        <v>Aarav Shah</v>
      </c>
      <c r="R7" s="2" t="str">
        <f t="shared" si="6"/>
        <v>Pen - Stationery</v>
      </c>
      <c r="S7" s="2"/>
      <c r="T7" s="2"/>
      <c r="U7" s="2"/>
      <c r="V7" s="2"/>
      <c r="W7" s="2"/>
      <c r="X7" s="2"/>
      <c r="Y7" s="2"/>
      <c r="Z7" s="2"/>
    </row>
    <row r="8" ht="15.75" customHeight="1">
      <c r="A8" s="4">
        <v>1007.0</v>
      </c>
      <c r="B8" s="5">
        <v>45300.0</v>
      </c>
      <c r="C8" s="1" t="s">
        <v>36</v>
      </c>
      <c r="D8" s="1" t="s">
        <v>23</v>
      </c>
      <c r="E8" s="1" t="s">
        <v>27</v>
      </c>
      <c r="F8" s="1" t="s">
        <v>28</v>
      </c>
      <c r="G8" s="4">
        <v>4.0</v>
      </c>
      <c r="H8" s="4">
        <v>600.0</v>
      </c>
      <c r="I8" s="4">
        <v>2400.0</v>
      </c>
      <c r="J8" s="4" t="str">
        <f t="shared" si="1"/>
        <v>Small</v>
      </c>
      <c r="K8" s="2"/>
      <c r="L8" s="2"/>
      <c r="M8" s="2"/>
      <c r="N8" s="2" t="str">
        <f t="shared" si="2"/>
        <v>Pri</v>
      </c>
      <c r="O8" s="2" t="str">
        <f t="shared" si="3"/>
        <v> Nair</v>
      </c>
      <c r="P8" s="2" t="str">
        <f t="shared" si="4"/>
        <v>riya Na</v>
      </c>
      <c r="Q8" s="2" t="str">
        <f t="shared" si="5"/>
        <v>Priya Nair</v>
      </c>
      <c r="R8" s="2" t="str">
        <f t="shared" si="6"/>
        <v>Desk Lamp - Electronics</v>
      </c>
      <c r="S8" s="2"/>
      <c r="T8" s="2"/>
      <c r="U8" s="2"/>
      <c r="V8" s="2"/>
      <c r="W8" s="2"/>
      <c r="X8" s="2"/>
      <c r="Y8" s="2"/>
      <c r="Z8" s="2"/>
    </row>
    <row r="9" ht="15.75" customHeight="1">
      <c r="A9" s="4">
        <v>1008.0</v>
      </c>
      <c r="B9" s="5">
        <v>45301.0</v>
      </c>
      <c r="C9" s="1" t="s">
        <v>26</v>
      </c>
      <c r="D9" s="1" t="s">
        <v>20</v>
      </c>
      <c r="E9" s="1" t="s">
        <v>18</v>
      </c>
      <c r="F9" s="1" t="s">
        <v>19</v>
      </c>
      <c r="G9" s="4">
        <v>20.0</v>
      </c>
      <c r="H9" s="4">
        <v>45.0</v>
      </c>
      <c r="I9" s="4">
        <v>900.0</v>
      </c>
      <c r="J9" s="4" t="str">
        <f t="shared" si="1"/>
        <v>Bulk</v>
      </c>
      <c r="K9" s="2"/>
      <c r="L9" s="2"/>
      <c r="M9" s="2"/>
      <c r="N9" s="2" t="str">
        <f t="shared" si="2"/>
        <v>Roh</v>
      </c>
      <c r="O9" s="2" t="str">
        <f t="shared" si="3"/>
        <v>Patel</v>
      </c>
      <c r="P9" s="2" t="str">
        <f t="shared" si="4"/>
        <v>ohan Pa</v>
      </c>
      <c r="Q9" s="2" t="str">
        <f t="shared" si="5"/>
        <v>Rohan Patel</v>
      </c>
      <c r="R9" s="2" t="str">
        <f t="shared" si="6"/>
        <v>Notebook - Stationery</v>
      </c>
      <c r="S9" s="2"/>
      <c r="T9" s="2"/>
      <c r="U9" s="2"/>
      <c r="V9" s="2"/>
      <c r="W9" s="2"/>
      <c r="X9" s="2"/>
      <c r="Y9" s="2"/>
      <c r="Z9" s="2"/>
    </row>
    <row r="10" ht="15.75" customHeight="1">
      <c r="A10" s="4">
        <v>1009.0</v>
      </c>
      <c r="B10" s="5">
        <v>45302.0</v>
      </c>
      <c r="C10" s="1" t="s">
        <v>37</v>
      </c>
      <c r="D10" s="1" t="s">
        <v>29</v>
      </c>
      <c r="E10" s="1" t="s">
        <v>34</v>
      </c>
      <c r="F10" s="1" t="s">
        <v>35</v>
      </c>
      <c r="G10" s="4">
        <v>1.0</v>
      </c>
      <c r="H10" s="4">
        <v>900.0</v>
      </c>
      <c r="I10" s="4">
        <v>900.0</v>
      </c>
      <c r="J10" s="4" t="str">
        <f t="shared" si="1"/>
        <v>Small</v>
      </c>
      <c r="K10" s="2"/>
      <c r="L10" s="2"/>
      <c r="M10" s="2"/>
      <c r="N10" s="2" t="str">
        <f t="shared" si="2"/>
        <v>Kab</v>
      </c>
      <c r="O10" s="2" t="str">
        <f t="shared" si="3"/>
        <v>Mehta</v>
      </c>
      <c r="P10" s="2" t="str">
        <f t="shared" si="4"/>
        <v>abir Me</v>
      </c>
      <c r="Q10" s="2" t="str">
        <f t="shared" si="5"/>
        <v>Kabir Mehta</v>
      </c>
      <c r="R10" s="2" t="str">
        <f t="shared" si="6"/>
        <v>Backpack - Accessories</v>
      </c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>
        <v>1010.0</v>
      </c>
      <c r="B11" s="5">
        <v>45303.0</v>
      </c>
      <c r="C11" s="1" t="s">
        <v>22</v>
      </c>
      <c r="D11" s="1" t="s">
        <v>23</v>
      </c>
      <c r="E11" s="1" t="s">
        <v>24</v>
      </c>
      <c r="F11" s="1" t="s">
        <v>19</v>
      </c>
      <c r="G11" s="4">
        <v>30.0</v>
      </c>
      <c r="H11" s="4">
        <v>10.0</v>
      </c>
      <c r="I11" s="4">
        <v>300.0</v>
      </c>
      <c r="J11" s="4" t="str">
        <f t="shared" si="1"/>
        <v>Bulk</v>
      </c>
      <c r="K11" s="2"/>
      <c r="L11" s="2"/>
      <c r="M11" s="2"/>
      <c r="N11" s="2" t="str">
        <f t="shared" si="2"/>
        <v>Mee</v>
      </c>
      <c r="O11" s="2" t="str">
        <f t="shared" si="3"/>
        <v> Iyer</v>
      </c>
      <c r="P11" s="2" t="str">
        <f t="shared" si="4"/>
        <v>eera Iy</v>
      </c>
      <c r="Q11" s="2" t="str">
        <f t="shared" si="5"/>
        <v>Meera Iyer</v>
      </c>
      <c r="R11" s="2" t="str">
        <f t="shared" si="6"/>
        <v>Pen - Stationery</v>
      </c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>
        <v>1011.0</v>
      </c>
      <c r="B12" s="5">
        <v>45304.0</v>
      </c>
      <c r="C12" s="1" t="s">
        <v>31</v>
      </c>
      <c r="D12" s="1" t="s">
        <v>17</v>
      </c>
      <c r="E12" s="1" t="s">
        <v>27</v>
      </c>
      <c r="F12" s="1" t="s">
        <v>28</v>
      </c>
      <c r="G12" s="4">
        <v>2.0</v>
      </c>
      <c r="H12" s="4">
        <v>600.0</v>
      </c>
      <c r="I12" s="4">
        <v>1200.0</v>
      </c>
      <c r="J12" s="4" t="str">
        <f t="shared" si="1"/>
        <v>Small</v>
      </c>
      <c r="K12" s="2"/>
      <c r="L12" s="2"/>
      <c r="M12" s="2"/>
      <c r="N12" s="2" t="str">
        <f t="shared" si="2"/>
        <v>Sne</v>
      </c>
      <c r="O12" s="2" t="str">
        <f t="shared" si="3"/>
        <v>a Rao</v>
      </c>
      <c r="P12" s="2" t="str">
        <f t="shared" si="4"/>
        <v>neha Ra</v>
      </c>
      <c r="Q12" s="2" t="str">
        <f t="shared" si="5"/>
        <v>Sneha Rao</v>
      </c>
      <c r="R12" s="2" t="str">
        <f t="shared" si="6"/>
        <v>Desk Lamp - Electronics</v>
      </c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>
        <v>1012.0</v>
      </c>
      <c r="B13" s="5">
        <v>45305.0</v>
      </c>
      <c r="C13" s="1" t="s">
        <v>33</v>
      </c>
      <c r="D13" s="1" t="s">
        <v>29</v>
      </c>
      <c r="E13" s="1" t="s">
        <v>18</v>
      </c>
      <c r="F13" s="1" t="s">
        <v>19</v>
      </c>
      <c r="G13" s="4">
        <v>12.0</v>
      </c>
      <c r="H13" s="4">
        <v>45.0</v>
      </c>
      <c r="I13" s="4">
        <v>540.0</v>
      </c>
      <c r="J13" s="4" t="str">
        <f t="shared" si="1"/>
        <v>Bulk</v>
      </c>
      <c r="K13" s="2"/>
      <c r="L13" s="2"/>
      <c r="M13" s="2"/>
      <c r="N13" s="2" t="str">
        <f t="shared" si="2"/>
        <v>Vik</v>
      </c>
      <c r="O13" s="2" t="str">
        <f t="shared" si="3"/>
        <v>Singh</v>
      </c>
      <c r="P13" s="2" t="str">
        <f t="shared" si="4"/>
        <v>ikram S</v>
      </c>
      <c r="Q13" s="2" t="str">
        <f t="shared" si="5"/>
        <v>Vikram Singh</v>
      </c>
      <c r="R13" s="2" t="str">
        <f t="shared" si="6"/>
        <v>Notebook - Stationery</v>
      </c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>
        <v>1013.0</v>
      </c>
      <c r="B14" s="5">
        <v>45306.0</v>
      </c>
      <c r="C14" s="1" t="s">
        <v>36</v>
      </c>
      <c r="D14" s="1" t="s">
        <v>23</v>
      </c>
      <c r="E14" s="1" t="s">
        <v>34</v>
      </c>
      <c r="F14" s="1" t="s">
        <v>35</v>
      </c>
      <c r="G14" s="4">
        <v>3.0</v>
      </c>
      <c r="H14" s="4">
        <v>900.0</v>
      </c>
      <c r="I14" s="4">
        <v>2700.0</v>
      </c>
      <c r="J14" s="4" t="str">
        <f t="shared" si="1"/>
        <v>Small</v>
      </c>
      <c r="K14" s="2"/>
      <c r="L14" s="2"/>
      <c r="M14" s="2"/>
      <c r="N14" s="2" t="str">
        <f t="shared" si="2"/>
        <v>Pri</v>
      </c>
      <c r="O14" s="2" t="str">
        <f t="shared" si="3"/>
        <v> Nair</v>
      </c>
      <c r="P14" s="2" t="str">
        <f t="shared" si="4"/>
        <v>riya Na</v>
      </c>
      <c r="Q14" s="2" t="str">
        <f t="shared" si="5"/>
        <v>Priya Nair</v>
      </c>
      <c r="R14" s="2" t="str">
        <f t="shared" si="6"/>
        <v>Backpack - Accessories</v>
      </c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>
        <v>1014.0</v>
      </c>
      <c r="B15" s="5">
        <v>45307.0</v>
      </c>
      <c r="C15" s="1" t="s">
        <v>37</v>
      </c>
      <c r="D15" s="1" t="s">
        <v>29</v>
      </c>
      <c r="E15" s="1" t="s">
        <v>24</v>
      </c>
      <c r="F15" s="1" t="s">
        <v>19</v>
      </c>
      <c r="G15" s="4">
        <v>40.0</v>
      </c>
      <c r="H15" s="4">
        <v>10.0</v>
      </c>
      <c r="I15" s="4">
        <v>400.0</v>
      </c>
      <c r="J15" s="4" t="str">
        <f t="shared" si="1"/>
        <v>Bulk</v>
      </c>
      <c r="K15" s="2"/>
      <c r="L15" s="2"/>
      <c r="M15" s="2"/>
      <c r="N15" s="2" t="str">
        <f t="shared" si="2"/>
        <v>Kab</v>
      </c>
      <c r="O15" s="2" t="str">
        <f t="shared" si="3"/>
        <v>Mehta</v>
      </c>
      <c r="P15" s="2" t="str">
        <f t="shared" si="4"/>
        <v>abir Me</v>
      </c>
      <c r="Q15" s="2" t="str">
        <f t="shared" si="5"/>
        <v>Kabir Mehta</v>
      </c>
      <c r="R15" s="2" t="str">
        <f t="shared" si="6"/>
        <v>Pen - Stationery</v>
      </c>
      <c r="S15" s="2"/>
      <c r="T15" s="2"/>
      <c r="U15" s="2"/>
      <c r="V15" s="2"/>
      <c r="W15" s="2"/>
      <c r="X15" s="2"/>
      <c r="Y15" s="2"/>
      <c r="Z15" s="2"/>
    </row>
    <row r="16" ht="15.75" customHeight="1">
      <c r="A16" s="4">
        <v>1015.0</v>
      </c>
      <c r="B16" s="5">
        <v>45308.0</v>
      </c>
      <c r="C16" s="1" t="s">
        <v>16</v>
      </c>
      <c r="D16" s="1" t="s">
        <v>17</v>
      </c>
      <c r="E16" s="1" t="s">
        <v>27</v>
      </c>
      <c r="F16" s="1" t="s">
        <v>28</v>
      </c>
      <c r="G16" s="4">
        <v>1.0</v>
      </c>
      <c r="H16" s="4">
        <v>600.0</v>
      </c>
      <c r="I16" s="4">
        <v>600.0</v>
      </c>
      <c r="J16" s="4" t="str">
        <f t="shared" si="1"/>
        <v>Small</v>
      </c>
      <c r="K16" s="2"/>
      <c r="L16" s="2"/>
      <c r="M16" s="2"/>
      <c r="N16" s="2" t="str">
        <f t="shared" si="2"/>
        <v>Aar</v>
      </c>
      <c r="O16" s="2" t="str">
        <f t="shared" si="3"/>
        <v> Shah</v>
      </c>
      <c r="P16" s="2" t="str">
        <f t="shared" si="4"/>
        <v>arav Sh</v>
      </c>
      <c r="Q16" s="2" t="str">
        <f t="shared" si="5"/>
        <v>Aarav Shah</v>
      </c>
      <c r="R16" s="2" t="str">
        <f t="shared" si="6"/>
        <v>Desk Lamp - Electronics</v>
      </c>
      <c r="S16" s="2"/>
      <c r="T16" s="2"/>
      <c r="U16" s="2"/>
      <c r="V16" s="2"/>
      <c r="W16" s="2"/>
      <c r="X16" s="2"/>
      <c r="Y16" s="2"/>
      <c r="Z16" s="2"/>
    </row>
    <row r="17" ht="15.75" customHeight="1">
      <c r="A17" s="4">
        <v>1016.0</v>
      </c>
      <c r="B17" s="5">
        <v>45309.0</v>
      </c>
      <c r="C17" s="1" t="s">
        <v>26</v>
      </c>
      <c r="D17" s="1" t="s">
        <v>20</v>
      </c>
      <c r="E17" s="1" t="s">
        <v>34</v>
      </c>
      <c r="F17" s="1" t="s">
        <v>35</v>
      </c>
      <c r="G17" s="4">
        <v>2.0</v>
      </c>
      <c r="H17" s="4">
        <v>900.0</v>
      </c>
      <c r="I17" s="4">
        <v>1800.0</v>
      </c>
      <c r="J17" s="4" t="str">
        <f t="shared" si="1"/>
        <v>Small</v>
      </c>
      <c r="K17" s="2"/>
      <c r="L17" s="2"/>
      <c r="M17" s="2"/>
      <c r="N17" s="2" t="str">
        <f t="shared" si="2"/>
        <v>Roh</v>
      </c>
      <c r="O17" s="2" t="str">
        <f t="shared" si="3"/>
        <v>Patel</v>
      </c>
      <c r="P17" s="2" t="str">
        <f t="shared" si="4"/>
        <v>ohan Pa</v>
      </c>
      <c r="Q17" s="2" t="str">
        <f t="shared" si="5"/>
        <v>Rohan Patel</v>
      </c>
      <c r="R17" s="2" t="str">
        <f t="shared" si="6"/>
        <v>Backpack - Accessories</v>
      </c>
      <c r="S17" s="2"/>
      <c r="T17" s="2"/>
      <c r="U17" s="2"/>
      <c r="V17" s="2"/>
      <c r="W17" s="2"/>
      <c r="X17" s="2"/>
      <c r="Y17" s="2"/>
      <c r="Z17" s="2"/>
    </row>
    <row r="18" ht="15.75" customHeight="1">
      <c r="A18" s="4">
        <v>1017.0</v>
      </c>
      <c r="B18" s="5">
        <v>45310.0</v>
      </c>
      <c r="C18" s="1" t="s">
        <v>22</v>
      </c>
      <c r="D18" s="1" t="s">
        <v>23</v>
      </c>
      <c r="E18" s="1" t="s">
        <v>18</v>
      </c>
      <c r="F18" s="1" t="s">
        <v>19</v>
      </c>
      <c r="G18" s="4">
        <v>18.0</v>
      </c>
      <c r="H18" s="4">
        <v>45.0</v>
      </c>
      <c r="I18" s="4">
        <v>810.0</v>
      </c>
      <c r="J18" s="4" t="str">
        <f t="shared" si="1"/>
        <v>Bulk</v>
      </c>
      <c r="K18" s="2"/>
      <c r="L18" s="2"/>
      <c r="M18" s="2"/>
      <c r="N18" s="2" t="str">
        <f t="shared" si="2"/>
        <v>Mee</v>
      </c>
      <c r="O18" s="2" t="str">
        <f t="shared" si="3"/>
        <v> Iyer</v>
      </c>
      <c r="P18" s="2" t="str">
        <f t="shared" si="4"/>
        <v>eera Iy</v>
      </c>
      <c r="Q18" s="2" t="str">
        <f t="shared" si="5"/>
        <v>Meera Iyer</v>
      </c>
      <c r="R18" s="2" t="str">
        <f t="shared" si="6"/>
        <v>Notebook - Stationery</v>
      </c>
      <c r="S18" s="2"/>
      <c r="T18" s="2"/>
      <c r="U18" s="2"/>
      <c r="V18" s="2"/>
      <c r="W18" s="2"/>
      <c r="X18" s="2"/>
      <c r="Y18" s="2"/>
      <c r="Z18" s="2"/>
    </row>
    <row r="19" ht="15.75" customHeight="1">
      <c r="A19" s="4">
        <v>1018.0</v>
      </c>
      <c r="B19" s="5">
        <v>45311.0</v>
      </c>
      <c r="C19" s="1" t="s">
        <v>31</v>
      </c>
      <c r="D19" s="1" t="s">
        <v>17</v>
      </c>
      <c r="E19" s="1" t="s">
        <v>24</v>
      </c>
      <c r="F19" s="1" t="s">
        <v>19</v>
      </c>
      <c r="G19" s="4">
        <v>35.0</v>
      </c>
      <c r="H19" s="4">
        <v>10.0</v>
      </c>
      <c r="I19" s="4">
        <v>350.0</v>
      </c>
      <c r="J19" s="4" t="str">
        <f t="shared" si="1"/>
        <v>Bulk</v>
      </c>
      <c r="K19" s="2"/>
      <c r="L19" s="2"/>
      <c r="M19" s="2"/>
      <c r="N19" s="2" t="str">
        <f t="shared" si="2"/>
        <v>Sne</v>
      </c>
      <c r="O19" s="2" t="str">
        <f t="shared" si="3"/>
        <v>a Rao</v>
      </c>
      <c r="P19" s="2" t="str">
        <f t="shared" si="4"/>
        <v>neha Ra</v>
      </c>
      <c r="Q19" s="2" t="str">
        <f t="shared" si="5"/>
        <v>Sneha Rao</v>
      </c>
      <c r="R19" s="2" t="str">
        <f t="shared" si="6"/>
        <v>Pen - Stationery</v>
      </c>
      <c r="S19" s="2"/>
      <c r="T19" s="2"/>
      <c r="U19" s="2"/>
      <c r="V19" s="2"/>
      <c r="W19" s="2"/>
      <c r="X19" s="2"/>
      <c r="Y19" s="2"/>
      <c r="Z19" s="2"/>
    </row>
    <row r="20" ht="15.75" customHeight="1">
      <c r="A20" s="4">
        <v>1019.0</v>
      </c>
      <c r="B20" s="5">
        <v>45312.0</v>
      </c>
      <c r="C20" s="1" t="s">
        <v>33</v>
      </c>
      <c r="D20" s="1" t="s">
        <v>29</v>
      </c>
      <c r="E20" s="1" t="s">
        <v>27</v>
      </c>
      <c r="F20" s="1" t="s">
        <v>28</v>
      </c>
      <c r="G20" s="4">
        <v>5.0</v>
      </c>
      <c r="H20" s="4">
        <v>600.0</v>
      </c>
      <c r="I20" s="4">
        <v>3000.0</v>
      </c>
      <c r="J20" s="4" t="str">
        <f t="shared" si="1"/>
        <v>Small</v>
      </c>
      <c r="K20" s="2"/>
      <c r="L20" s="2"/>
      <c r="M20" s="2"/>
      <c r="N20" s="2" t="str">
        <f t="shared" si="2"/>
        <v>Vik</v>
      </c>
      <c r="O20" s="2" t="str">
        <f t="shared" si="3"/>
        <v>Singh</v>
      </c>
      <c r="P20" s="2" t="str">
        <f t="shared" si="4"/>
        <v>ikram S</v>
      </c>
      <c r="Q20" s="2" t="str">
        <f t="shared" si="5"/>
        <v>Vikram Singh</v>
      </c>
      <c r="R20" s="2" t="str">
        <f t="shared" si="6"/>
        <v>Desk Lamp - Electronics</v>
      </c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>
        <v>1020.0</v>
      </c>
      <c r="B21" s="5">
        <v>45313.0</v>
      </c>
      <c r="C21" s="1" t="s">
        <v>36</v>
      </c>
      <c r="D21" s="1" t="s">
        <v>23</v>
      </c>
      <c r="E21" s="1" t="s">
        <v>18</v>
      </c>
      <c r="F21" s="1" t="s">
        <v>19</v>
      </c>
      <c r="G21" s="4">
        <v>22.0</v>
      </c>
      <c r="H21" s="4">
        <v>45.0</v>
      </c>
      <c r="I21" s="4">
        <v>990.0</v>
      </c>
      <c r="J21" s="4" t="str">
        <f t="shared" si="1"/>
        <v>Bulk</v>
      </c>
      <c r="K21" s="2"/>
      <c r="L21" s="2"/>
      <c r="M21" s="2"/>
      <c r="N21" s="2" t="str">
        <f t="shared" si="2"/>
        <v>Pri</v>
      </c>
      <c r="O21" s="2" t="str">
        <f t="shared" si="3"/>
        <v> Nair</v>
      </c>
      <c r="P21" s="2" t="str">
        <f t="shared" si="4"/>
        <v>riya Na</v>
      </c>
      <c r="Q21" s="2" t="str">
        <f t="shared" si="5"/>
        <v>Priya Nair</v>
      </c>
      <c r="R21" s="2" t="str">
        <f t="shared" si="6"/>
        <v>Notebook - Stationery</v>
      </c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</worksheet>
</file>