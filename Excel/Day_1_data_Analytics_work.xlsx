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1_practice_sale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<sst xmlns="http://schemas.openxmlformats.org/spreadsheetml/2006/main" count="101" uniqueCount="38">
  <si>
    <t>OrderID</t>
  </si>
  <si>
    <t>Date</t>
  </si>
  <si>
    <t>Customer</t>
  </si>
  <si>
    <t>Region</t>
  </si>
  <si>
    <t>Product</t>
  </si>
  <si>
    <t>Category</t>
  </si>
  <si>
    <t>Quantity</t>
  </si>
  <si>
    <t>UnitPrice</t>
  </si>
  <si>
    <t>Sales</t>
  </si>
  <si>
    <t>Aarav Shah</t>
  </si>
  <si>
    <t>West</t>
  </si>
  <si>
    <t>Notebook</t>
  </si>
  <si>
    <t>Stationery</t>
  </si>
  <si>
    <t>Meera Iyer</t>
  </si>
  <si>
    <t>South</t>
  </si>
  <si>
    <t>Pen</t>
  </si>
  <si>
    <t>Rohan Patel</t>
  </si>
  <si>
    <t>North</t>
  </si>
  <si>
    <t>Desk Lamp</t>
  </si>
  <si>
    <t>Electronics</t>
  </si>
  <si>
    <t>SUM</t>
  </si>
  <si>
    <t>Sneha Rao</t>
  </si>
  <si>
    <t>AVERAGE</t>
  </si>
  <si>
    <t>Vikram Singh</t>
  </si>
  <si>
    <t>East</t>
  </si>
  <si>
    <t>Backpack</t>
  </si>
  <si>
    <t>Accessories</t>
  </si>
  <si>
    <t>COUNT</t>
  </si>
  <si>
    <t>MAX</t>
  </si>
  <si>
    <t>Priya Nair</t>
  </si>
  <si>
    <t>MIN</t>
  </si>
  <si>
    <t>COUNTA</t>
  </si>
  <si>
    <t>Kabir Mehta</t>
  </si>
  <si>
    <t>SUMIF</t>
  </si>
  <si>
    <t>AVERAGEIF</t>
  </si>
  <si>
    <t>COUNTIF</t>
  </si>
  <si>
    <t>IF_STATEMENT</t>
  </si>
  <si>
    <t>SUM of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</si>
</sst>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" sheet="day1_practice_sales"/>
  </cacheSource>
  <cacheFields>
    <cacheField name="Order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Date" numFmtId="164">
      <sharedItems containsSemiMixedTypes="0" containsDate="1" containsString="0"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</sharedItems>
    </cacheField>
    <cacheField name="Customer" numFmtId="0">
      <sharedItems>
        <s v="Aarav Shah"/>
        <s v="Meera Iyer"/>
        <s v="Rohan Patel"/>
        <s v="Sneha Rao"/>
        <s v="Vikram Singh"/>
        <s v="Priya Nair"/>
        <s v="Kabir Mehta"/>
      </sharedItems>
    </cacheField>
    <cacheField name="Region" numFmtId="0">
      <sharedItems>
        <s v="West"/>
        <s v="South"/>
        <s v="North"/>
        <s v="East"/>
      </sharedItems>
    </cacheField>
    <cacheField name="Product" numFmtId="0">
      <sharedItems>
        <s v="Notebook"/>
        <s v="Pen"/>
        <s v="Desk Lamp"/>
        <s v="Backpack"/>
      </sharedItems>
    </cacheField>
    <cacheField name="Category" numFmtId="0">
      <sharedItems>
        <s v="Stationery"/>
        <s v="Electronics"/>
        <s v="Accessories"/>
      </sharedItems>
    </cacheField>
    <cacheField name="Quantity" numFmtId="0">
      <sharedItems containsSemiMixedTypes="0" containsString="0" containsNumber="1" containsInteger="1">
        <n v="10.0"/>
        <n v="25.0"/>
        <n v="3.0"/>
        <n v="15.0"/>
        <n v="2.0"/>
        <n v="50.0"/>
        <n v="4.0"/>
        <n v="20.0"/>
        <n v="1.0"/>
        <n v="30.0"/>
        <n v="12.0"/>
        <n v="40.0"/>
        <n v="18.0"/>
        <n v="35.0"/>
        <n v="5.0"/>
        <n v="22.0"/>
      </sharedItems>
    </cacheField>
    <cacheField name="UnitPrice" numFmtId="0">
      <sharedItems containsSemiMixedTypes="0" containsString="0" containsNumber="1" containsInteger="1">
        <n v="45.0"/>
        <n v="10.0"/>
        <n v="600.0"/>
        <n v="900.0"/>
      </sharedItems>
    </cacheField>
    <cacheField name="Sales" numFmtId="0">
      <sharedItems containsSemiMixedTypes="0" containsString="0" containsNumber="1" containsInteger="1">
        <n v="450.0"/>
        <n v="250.0"/>
        <n v="1800.0"/>
        <n v="675.0"/>
        <n v="500.0"/>
        <n v="2400.0"/>
        <n v="900.0"/>
        <n v="300.0"/>
        <n v="1200.0"/>
        <n v="540.0"/>
        <n v="2700.0"/>
        <n v="400.0"/>
        <n v="600.0"/>
        <n v="810.0"/>
        <n v="350.0"/>
        <n v="3000.0"/>
        <n v="99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A2" firstHeaderRow="0" firstDataRow="0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dataFields>
    <dataField name="SUM of 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1001.0</v>
      </c>
      <c r="B2" s="2">
        <v>45294.0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10.0</v>
      </c>
      <c r="H2" s="1">
        <v>45.0</v>
      </c>
      <c r="I2" s="1">
        <v>450.0</v>
      </c>
    </row>
    <row r="3">
      <c r="A3" s="1">
        <v>1002.0</v>
      </c>
      <c r="B3" s="2">
        <v>45295.0</v>
      </c>
      <c r="C3" s="1" t="s">
        <v>13</v>
      </c>
      <c r="D3" s="1" t="s">
        <v>14</v>
      </c>
      <c r="E3" s="1" t="s">
        <v>15</v>
      </c>
      <c r="F3" s="1" t="s">
        <v>12</v>
      </c>
      <c r="G3" s="1">
        <v>25.0</v>
      </c>
      <c r="H3" s="1">
        <v>10.0</v>
      </c>
      <c r="I3" s="1">
        <v>250.0</v>
      </c>
    </row>
    <row r="4">
      <c r="A4" s="1">
        <v>1003.0</v>
      </c>
      <c r="B4" s="2">
        <v>45296.0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3.0</v>
      </c>
      <c r="H4" s="1">
        <v>600.0</v>
      </c>
      <c r="I4" s="1">
        <v>1800.0</v>
      </c>
      <c r="K4" s="3">
        <f>SUM(I1:I21)</f>
        <v>22365</v>
      </c>
      <c r="L4" s="1" t="s">
        <v>20</v>
      </c>
    </row>
    <row r="5">
      <c r="A5" s="1">
        <v>1004.0</v>
      </c>
      <c r="B5" s="2">
        <v>45297.0</v>
      </c>
      <c r="C5" s="1" t="s">
        <v>21</v>
      </c>
      <c r="D5" s="1" t="s">
        <v>10</v>
      </c>
      <c r="E5" s="1" t="s">
        <v>11</v>
      </c>
      <c r="F5" s="1" t="s">
        <v>12</v>
      </c>
      <c r="G5" s="1">
        <v>15.0</v>
      </c>
      <c r="H5" s="1">
        <v>45.0</v>
      </c>
      <c r="I5" s="1">
        <v>675.0</v>
      </c>
      <c r="K5" s="3">
        <f>AVERAGE(H1:H21)</f>
        <v>346</v>
      </c>
      <c r="L5" s="1" t="s">
        <v>22</v>
      </c>
    </row>
    <row r="6">
      <c r="A6" s="1">
        <v>1005.0</v>
      </c>
      <c r="B6" s="2">
        <v>45298.0</v>
      </c>
      <c r="C6" s="1" t="s">
        <v>23</v>
      </c>
      <c r="D6" s="1" t="s">
        <v>24</v>
      </c>
      <c r="E6" s="1" t="s">
        <v>25</v>
      </c>
      <c r="F6" s="1" t="s">
        <v>26</v>
      </c>
      <c r="G6" s="1">
        <v>2.0</v>
      </c>
      <c r="H6" s="1">
        <v>900.0</v>
      </c>
      <c r="I6" s="1">
        <v>1800.0</v>
      </c>
      <c r="K6" s="3">
        <f>COUNT(I1:I21)</f>
        <v>20</v>
      </c>
      <c r="L6" s="1" t="s">
        <v>27</v>
      </c>
    </row>
    <row r="7">
      <c r="A7" s="1">
        <v>1006.0</v>
      </c>
      <c r="B7" s="2">
        <v>45299.0</v>
      </c>
      <c r="C7" s="1" t="s">
        <v>9</v>
      </c>
      <c r="D7" s="1" t="s">
        <v>10</v>
      </c>
      <c r="E7" s="1" t="s">
        <v>15</v>
      </c>
      <c r="F7" s="1" t="s">
        <v>12</v>
      </c>
      <c r="G7" s="1">
        <v>50.0</v>
      </c>
      <c r="H7" s="1">
        <v>10.0</v>
      </c>
      <c r="I7" s="1">
        <v>500.0</v>
      </c>
      <c r="K7" s="3">
        <f>MAX(I1:I21)</f>
        <v>3000</v>
      </c>
      <c r="L7" s="1" t="s">
        <v>28</v>
      </c>
    </row>
    <row r="8">
      <c r="A8" s="1">
        <v>1007.0</v>
      </c>
      <c r="B8" s="2">
        <v>45300.0</v>
      </c>
      <c r="C8" s="1" t="s">
        <v>29</v>
      </c>
      <c r="D8" s="1" t="s">
        <v>14</v>
      </c>
      <c r="E8" s="1" t="s">
        <v>18</v>
      </c>
      <c r="F8" s="1" t="s">
        <v>19</v>
      </c>
      <c r="G8" s="1">
        <v>4.0</v>
      </c>
      <c r="H8" s="1">
        <v>600.0</v>
      </c>
      <c r="I8" s="1">
        <v>2400.0</v>
      </c>
      <c r="K8" s="3">
        <f>MIN(I1:I21)</f>
        <v>250</v>
      </c>
      <c r="L8" s="1" t="s">
        <v>30</v>
      </c>
    </row>
    <row r="9">
      <c r="A9" s="1">
        <v>1008.0</v>
      </c>
      <c r="B9" s="2">
        <v>45301.0</v>
      </c>
      <c r="C9" s="1" t="s">
        <v>16</v>
      </c>
      <c r="D9" s="1" t="s">
        <v>17</v>
      </c>
      <c r="E9" s="1" t="s">
        <v>11</v>
      </c>
      <c r="F9" s="1" t="s">
        <v>12</v>
      </c>
      <c r="G9" s="1">
        <v>20.0</v>
      </c>
      <c r="H9" s="1">
        <v>45.0</v>
      </c>
      <c r="I9" s="1">
        <v>900.0</v>
      </c>
      <c r="K9" s="3">
        <f>COUNTA(I1:I21)</f>
        <v>21</v>
      </c>
      <c r="L9" s="1" t="s">
        <v>31</v>
      </c>
    </row>
    <row r="10">
      <c r="A10" s="1">
        <v>1009.0</v>
      </c>
      <c r="B10" s="2">
        <v>45302.0</v>
      </c>
      <c r="C10" s="1" t="s">
        <v>32</v>
      </c>
      <c r="D10" s="1" t="s">
        <v>24</v>
      </c>
      <c r="E10" s="1" t="s">
        <v>25</v>
      </c>
      <c r="F10" s="1" t="s">
        <v>26</v>
      </c>
      <c r="G10" s="1">
        <v>1.0</v>
      </c>
      <c r="H10" s="1">
        <v>900.0</v>
      </c>
      <c r="I10" s="1">
        <v>900.0</v>
      </c>
    </row>
    <row r="11">
      <c r="A11" s="1">
        <v>1010.0</v>
      </c>
      <c r="B11" s="2">
        <v>45303.0</v>
      </c>
      <c r="C11" s="1" t="s">
        <v>13</v>
      </c>
      <c r="D11" s="1" t="s">
        <v>14</v>
      </c>
      <c r="E11" s="1" t="s">
        <v>15</v>
      </c>
      <c r="F11" s="1" t="s">
        <v>12</v>
      </c>
      <c r="G11" s="1">
        <v>30.0</v>
      </c>
      <c r="H11" s="1">
        <v>10.0</v>
      </c>
      <c r="I11" s="1">
        <v>300.0</v>
      </c>
      <c r="K11" s="3">
        <f>SUMIF(D2:D21,"South",I2:I21)</f>
        <v>7450</v>
      </c>
      <c r="L11" s="1" t="s">
        <v>33</v>
      </c>
    </row>
    <row r="12">
      <c r="A12" s="1">
        <v>1011.0</v>
      </c>
      <c r="B12" s="2">
        <v>45304.0</v>
      </c>
      <c r="C12" s="1" t="s">
        <v>21</v>
      </c>
      <c r="D12" s="1" t="s">
        <v>10</v>
      </c>
      <c r="E12" s="1" t="s">
        <v>18</v>
      </c>
      <c r="F12" s="1" t="s">
        <v>19</v>
      </c>
      <c r="G12" s="1">
        <v>2.0</v>
      </c>
      <c r="H12" s="1">
        <v>600.0</v>
      </c>
      <c r="I12" s="1">
        <v>1200.0</v>
      </c>
      <c r="K12" s="1">
        <f>AVERAGEIF(E2:E21, "Notebook", I2:I21)</f>
        <v>727.5</v>
      </c>
      <c r="L12" s="1" t="s">
        <v>34</v>
      </c>
    </row>
    <row r="13">
      <c r="A13" s="1">
        <v>1012.0</v>
      </c>
      <c r="B13" s="2">
        <v>45305.0</v>
      </c>
      <c r="C13" s="1" t="s">
        <v>23</v>
      </c>
      <c r="D13" s="1" t="s">
        <v>24</v>
      </c>
      <c r="E13" s="1" t="s">
        <v>11</v>
      </c>
      <c r="F13" s="1" t="s">
        <v>12</v>
      </c>
      <c r="G13" s="1">
        <v>12.0</v>
      </c>
      <c r="H13" s="1">
        <v>45.0</v>
      </c>
      <c r="I13" s="1">
        <v>540.0</v>
      </c>
      <c r="K13" s="1">
        <f>COUNTIF(C2:C21, "Aarav Shah")</f>
        <v>3</v>
      </c>
      <c r="L13" s="1" t="s">
        <v>35</v>
      </c>
    </row>
    <row r="14">
      <c r="A14" s="1">
        <v>1013.0</v>
      </c>
      <c r="B14" s="2">
        <v>45306.0</v>
      </c>
      <c r="C14" s="1" t="s">
        <v>29</v>
      </c>
      <c r="D14" s="1" t="s">
        <v>14</v>
      </c>
      <c r="E14" s="1" t="s">
        <v>25</v>
      </c>
      <c r="F14" s="1" t="s">
        <v>26</v>
      </c>
      <c r="G14" s="1">
        <v>3.0</v>
      </c>
      <c r="H14" s="1">
        <v>900.0</v>
      </c>
      <c r="I14" s="1">
        <v>2700.0</v>
      </c>
      <c r="L14" s="1" t="s">
        <v>36</v>
      </c>
    </row>
    <row r="15">
      <c r="A15" s="1">
        <v>1014.0</v>
      </c>
      <c r="B15" s="2">
        <v>45307.0</v>
      </c>
      <c r="C15" s="1" t="s">
        <v>32</v>
      </c>
      <c r="D15" s="1" t="s">
        <v>24</v>
      </c>
      <c r="E15" s="1" t="s">
        <v>15</v>
      </c>
      <c r="F15" s="1" t="s">
        <v>12</v>
      </c>
      <c r="G15" s="1">
        <v>40.0</v>
      </c>
      <c r="H15" s="1">
        <v>10.0</v>
      </c>
      <c r="I15" s="1">
        <v>400.0</v>
      </c>
      <c r="K15" s="3" t="str">
        <f>IF(G2&gt;9,"Bulk", "Small")</f>
        <v>Bulk</v>
      </c>
      <c r="L15" s="1" t="s">
        <v>36</v>
      </c>
    </row>
    <row r="16">
      <c r="A16" s="1">
        <v>1015.0</v>
      </c>
      <c r="B16" s="2">
        <v>45308.0</v>
      </c>
      <c r="C16" s="1" t="s">
        <v>9</v>
      </c>
      <c r="D16" s="1" t="s">
        <v>10</v>
      </c>
      <c r="E16" s="1" t="s">
        <v>18</v>
      </c>
      <c r="F16" s="1" t="s">
        <v>19</v>
      </c>
      <c r="G16" s="1">
        <v>1.0</v>
      </c>
      <c r="H16" s="1">
        <v>600.0</v>
      </c>
      <c r="I16" s="1">
        <v>600.0</v>
      </c>
    </row>
    <row r="17">
      <c r="A17" s="1">
        <v>1016.0</v>
      </c>
      <c r="B17" s="2">
        <v>45309.0</v>
      </c>
      <c r="C17" s="1" t="s">
        <v>16</v>
      </c>
      <c r="D17" s="1" t="s">
        <v>17</v>
      </c>
      <c r="E17" s="1" t="s">
        <v>25</v>
      </c>
      <c r="F17" s="1" t="s">
        <v>26</v>
      </c>
      <c r="G17" s="1">
        <v>2.0</v>
      </c>
      <c r="H17" s="1">
        <v>900.0</v>
      </c>
      <c r="I17" s="1">
        <v>1800.0</v>
      </c>
    </row>
    <row r="18">
      <c r="A18" s="1">
        <v>1017.0</v>
      </c>
      <c r="B18" s="2">
        <v>45310.0</v>
      </c>
      <c r="C18" s="1" t="s">
        <v>13</v>
      </c>
      <c r="D18" s="1" t="s">
        <v>14</v>
      </c>
      <c r="E18" s="1" t="s">
        <v>11</v>
      </c>
      <c r="F18" s="1" t="s">
        <v>12</v>
      </c>
      <c r="G18" s="1">
        <v>18.0</v>
      </c>
      <c r="H18" s="1">
        <v>45.0</v>
      </c>
      <c r="I18" s="1">
        <v>810.0</v>
      </c>
    </row>
    <row r="19">
      <c r="A19" s="1">
        <v>1018.0</v>
      </c>
      <c r="B19" s="2">
        <v>45311.0</v>
      </c>
      <c r="C19" s="1" t="s">
        <v>21</v>
      </c>
      <c r="D19" s="1" t="s">
        <v>10</v>
      </c>
      <c r="E19" s="1" t="s">
        <v>15</v>
      </c>
      <c r="F19" s="1" t="s">
        <v>12</v>
      </c>
      <c r="G19" s="1">
        <v>35.0</v>
      </c>
      <c r="H19" s="1">
        <v>10.0</v>
      </c>
      <c r="I19" s="1">
        <v>350.0</v>
      </c>
    </row>
    <row r="20">
      <c r="A20" s="1">
        <v>1019.0</v>
      </c>
      <c r="B20" s="2">
        <v>45312.0</v>
      </c>
      <c r="C20" s="1" t="s">
        <v>23</v>
      </c>
      <c r="D20" s="1" t="s">
        <v>24</v>
      </c>
      <c r="E20" s="1" t="s">
        <v>18</v>
      </c>
      <c r="F20" s="1" t="s">
        <v>19</v>
      </c>
      <c r="G20" s="1">
        <v>5.0</v>
      </c>
      <c r="H20" s="1">
        <v>600.0</v>
      </c>
      <c r="I20" s="1">
        <v>3000.0</v>
      </c>
    </row>
    <row r="21">
      <c r="A21" s="1">
        <v>1020.0</v>
      </c>
      <c r="B21" s="2">
        <v>45313.0</v>
      </c>
      <c r="C21" s="1" t="s">
        <v>29</v>
      </c>
      <c r="D21" s="1" t="s">
        <v>14</v>
      </c>
      <c r="E21" s="1" t="s">
        <v>11</v>
      </c>
      <c r="F21" s="1" t="s">
        <v>12</v>
      </c>
      <c r="G21" s="1">
        <v>22.0</v>
      </c>
      <c r="H21" s="1">
        <v>45.0</v>
      </c>
      <c r="I21" s="1">
        <v>990.0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