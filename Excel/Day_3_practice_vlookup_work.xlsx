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Pivot Table 2" sheetId="2" r:id="rId6"/>
    <sheet state="visible" name="Pivot Table 1" sheetId="3" r:id="rId7"/>
  </sheets>
  <definedNames/>
  <calcPr/>
  <pivotCaches>
    <pivotCache cacheId="0" r:id="rId8"/>
    <pivotCache cacheId="1" r:id="rId9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tc={2556631e-a96d-4587-ae17-0710ae3b8235}</author>
    <author>tc={4daa154e-30ec-47ab-a506-5031f545dd6d}</author>
  </authors>
  <commentList>
    <comment authorId="0" xr:uid="{2556631e-a96d-4587-ae17-0710ae3b8235}" ref="N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VLOOKUP
</t>
      </text>
    </comment>
    <comment authorId="1" xr:uid="{4daa154e-30ec-47ab-a506-5031f545dd6d}" ref="O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XLOOKUP
</t>
      </text>
    </comment>
  </commentList>
</comments>
</file>

<file path=xl/sharedStrings.xml><?xml version="1.0" encoding="utf-8"?>
<sst xmlns="http://schemas.openxmlformats.org/spreadsheetml/2006/main" count="111" uniqueCount="37">
  <si>
    <t>OrderID</t>
  </si>
  <si>
    <t>Date</t>
  </si>
  <si>
    <t>Customer</t>
  </si>
  <si>
    <t>Region</t>
  </si>
  <si>
    <t>Product</t>
  </si>
  <si>
    <t>Category</t>
  </si>
  <si>
    <t>Quantity</t>
  </si>
  <si>
    <t>UnitPrice</t>
  </si>
  <si>
    <t>Sales</t>
  </si>
  <si>
    <t>Bulk/Small</t>
  </si>
  <si>
    <t>Manager</t>
  </si>
  <si>
    <t>Aarav Shah</t>
  </si>
  <si>
    <t>West</t>
  </si>
  <si>
    <t>Notebook</t>
  </si>
  <si>
    <t>Stationery</t>
  </si>
  <si>
    <t>North</t>
  </si>
  <si>
    <t>Ritu Sharma</t>
  </si>
  <si>
    <t>Meera Iyer</t>
  </si>
  <si>
    <t>South</t>
  </si>
  <si>
    <t>Pen</t>
  </si>
  <si>
    <t>Arjun Verma</t>
  </si>
  <si>
    <t>Rohan Patel</t>
  </si>
  <si>
    <t>Desk Lamp</t>
  </si>
  <si>
    <t>Electronics</t>
  </si>
  <si>
    <t>East</t>
  </si>
  <si>
    <t>Farah Khan</t>
  </si>
  <si>
    <t>Sneha Rao</t>
  </si>
  <si>
    <t>Devansh Rao</t>
  </si>
  <si>
    <t>Vikram Singh</t>
  </si>
  <si>
    <t>Backpack</t>
  </si>
  <si>
    <t>Accessories</t>
  </si>
  <si>
    <t>Priya Nair</t>
  </si>
  <si>
    <t>Kabir Mehta</t>
  </si>
  <si>
    <t>SUM of Sales</t>
  </si>
  <si>
    <t>Bulk</t>
  </si>
  <si>
    <t>Small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</si>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</sst>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ahil Zagade" id="{20159be3-9740-48c3-8b41-6c3d360eb598}" providerId="google-sheets"/>
</x18tc:personList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21" sheet="Sheet1"/>
  </cacheSource>
  <cacheFields>
    <cacheField name="OrderID" numFmtId="0">
      <sharedItems containsSemiMixedTypes="0" containsString="0" containsNumber="1" containsInteger="1"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</sharedItems>
    </cacheField>
    <cacheField name="Date" numFmtId="164">
      <sharedItems containsSemiMixedTypes="0" containsDate="1" containsString="0">
        <d v="2024-01-03T00:00:00Z"/>
        <d v="2024-01-04T00:00:00Z"/>
        <d v="2024-01-05T00:00:00Z"/>
        <d v="2024-01-06T00:00:00Z"/>
        <d v="2024-01-07T00:00:00Z"/>
        <d v="2024-01-08T00:00:00Z"/>
        <d v="2024-01-09T00:00:00Z"/>
        <d v="2024-01-10T00:00:00Z"/>
        <d v="2024-01-11T00:00:00Z"/>
        <d v="2024-01-12T00:00:00Z"/>
        <d v="2024-01-13T00:00:00Z"/>
        <d v="2024-01-14T00:00:00Z"/>
        <d v="2024-01-15T00:00:00Z"/>
        <d v="2024-01-16T00:00:00Z"/>
        <d v="2024-01-17T00:00:00Z"/>
        <d v="2024-01-18T00:00:00Z"/>
        <d v="2024-01-19T00:00:00Z"/>
        <d v="2024-01-20T00:00:00Z"/>
        <d v="2024-01-21T00:00:00Z"/>
        <d v="2024-01-22T00:00:00Z"/>
      </sharedItems>
    </cacheField>
    <cacheField name="Customer" numFmtId="0">
      <sharedItems>
        <s v="Aarav Shah"/>
        <s v="Meera Iyer"/>
        <s v="Rohan Patel"/>
        <s v="Sneha Rao"/>
        <s v="Vikram Singh"/>
        <s v="Priya Nair"/>
        <s v="Kabir Mehta"/>
      </sharedItems>
    </cacheField>
    <cacheField name="Region" numFmtId="0">
      <sharedItems>
        <s v="West"/>
        <s v="South"/>
        <s v="North"/>
        <s v="East"/>
      </sharedItems>
    </cacheField>
    <cacheField name="Product" numFmtId="0">
      <sharedItems>
        <s v="Notebook"/>
        <s v="Pen"/>
        <s v="Desk Lamp"/>
        <s v="Backpack"/>
      </sharedItems>
    </cacheField>
    <cacheField name="Category" numFmtId="0">
      <sharedItems>
        <s v="Stationery"/>
        <s v="Electronics"/>
        <s v="Accessories"/>
      </sharedItems>
    </cacheField>
    <cacheField name="Quantity" numFmtId="0">
      <sharedItems containsSemiMixedTypes="0" containsString="0" containsNumber="1" containsInteger="1">
        <n v="10.0"/>
        <n v="25.0"/>
        <n v="3.0"/>
        <n v="15.0"/>
        <n v="2.0"/>
        <n v="50.0"/>
        <n v="4.0"/>
        <n v="20.0"/>
        <n v="1.0"/>
        <n v="30.0"/>
        <n v="12.0"/>
        <n v="40.0"/>
        <n v="18.0"/>
        <n v="35.0"/>
        <n v="5.0"/>
        <n v="22.0"/>
      </sharedItems>
    </cacheField>
    <cacheField name="UnitPrice" numFmtId="0">
      <sharedItems containsSemiMixedTypes="0" containsString="0" containsNumber="1" containsInteger="1">
        <n v="45.0"/>
        <n v="10.0"/>
        <n v="600.0"/>
        <n v="900.0"/>
      </sharedItems>
    </cacheField>
    <cacheField name="Sales" numFmtId="0">
      <sharedItems containsSemiMixedTypes="0" containsString="0" containsNumber="1" containsInteger="1">
        <n v="450.0"/>
        <n v="250.0"/>
        <n v="1800.0"/>
        <n v="675.0"/>
        <n v="500.0"/>
        <n v="2400.0"/>
        <n v="900.0"/>
        <n v="300.0"/>
        <n v="1200.0"/>
        <n v="540.0"/>
        <n v="2700.0"/>
        <n v="400.0"/>
        <n v="600.0"/>
        <n v="810.0"/>
        <n v="350.0"/>
        <n v="3000.0"/>
        <n v="990.0"/>
      </sharedItems>
    </cacheField>
    <cacheField name="Bulk/Small" numFmtId="0">
      <sharedItems>
        <s v="Bulk"/>
        <s v="Small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J1:J22" sheet="Sheet1"/>
  </cacheSource>
  <cacheFields>
    <cacheField name="Bulk/Small" numFmtId="0">
      <sharedItems containsBlank="1">
        <s v="Bulk"/>
        <s v="Small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 Table 2" cacheId="0" dataCaption="" compact="0" compactData="0">
  <location ref="A1:B4" firstHeaderRow="0" firstDataRow="1" firstDataCol="0"/>
  <pivotFields>
    <pivotField name="Ord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ustome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UnitPrice" compact="0" outline="0" multipleItemSelectionAllowed="1" showAll="0">
      <items>
        <item x="0"/>
        <item x="1"/>
        <item x="2"/>
        <item x="3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Bulk/Small" axis="axisRow" compact="0" outline="0" multipleItemSelectionAllowed="1" showAll="0" sortType="ascending">
      <items>
        <item x="0"/>
        <item x="1"/>
        <item t="default"/>
      </items>
    </pivotField>
  </pivotFields>
  <rowFields>
    <field x="9"/>
  </rowFields>
  <dataFields>
    <dataField name="SUM of Sales" fld="8" baseField="0"/>
  </dataFields>
</pivotTableDefinition>
</file>

<file path=xl/pivotTables/pivotTable2.xml><?xml version="1.0" encoding="utf-8"?>
<pivotTableDefinition xmlns="http://schemas.openxmlformats.org/spreadsheetml/2006/main" name="Pivot Table 1" cacheId="1" dataCaption="" compact="0" compactData="0">
  <location ref="A1:B5" firstHeaderRow="0" firstDataRow="1" firstDataCol="0"/>
  <pivotFields>
    <pivotField name="Bulk/Small" axis="axisRow" compact="0" outline="0" multipleItemSelectionAllowed="1" showAll="0" sortType="ascending">
      <items>
        <item x="2"/>
        <item x="0"/>
        <item x="1"/>
        <item t="default"/>
      </items>
    </pivotField>
  </pivotFields>
  <rowFields>
    <field x="0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N1" dT="2026-07-08T13:55:31.00" personId="{20159be3-9740-48c3-8b41-6c3d360eb598}" id="{2556631e-a96d-4587-ae17-0710ae3b8235}" done="0">
    <x18tc:text xml:space="preserve">VLOOKUP</x18tc:text>
  </x18tc:threadedComment>
  <x18tc:threadedComment ref="O1" dT="2026-07-08T13:55:10.00" personId="{20159be3-9740-48c3-8b41-6c3d360eb598}" id="{4daa154e-30ec-47ab-a506-5031f545dd6d}" done="0">
    <x18tc:text xml:space="preserve">XLOOKUP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2" t="s">
        <v>3</v>
      </c>
      <c r="M1" s="2" t="s">
        <v>10</v>
      </c>
      <c r="N1" s="3" t="s">
        <v>10</v>
      </c>
      <c r="O1" s="3" t="s">
        <v>10</v>
      </c>
    </row>
    <row r="2" ht="15.75" customHeight="1">
      <c r="A2" s="4">
        <v>1001.0</v>
      </c>
      <c r="B2" s="5">
        <v>45294.0</v>
      </c>
      <c r="C2" s="1" t="s">
        <v>11</v>
      </c>
      <c r="D2" s="1" t="s">
        <v>12</v>
      </c>
      <c r="E2" s="1" t="s">
        <v>13</v>
      </c>
      <c r="F2" s="1" t="s">
        <v>14</v>
      </c>
      <c r="G2" s="4">
        <v>10.0</v>
      </c>
      <c r="H2" s="4">
        <v>45.0</v>
      </c>
      <c r="I2" s="4">
        <v>450.0</v>
      </c>
      <c r="J2" s="1" t="str">
        <f t="shared" ref="J2:J21" si="1">if(G2&gt;=10, "Bulk", "Small")</f>
        <v>Bulk</v>
      </c>
      <c r="L2" s="2" t="s">
        <v>15</v>
      </c>
      <c r="M2" s="2" t="s">
        <v>16</v>
      </c>
      <c r="N2" s="2" t="str">
        <f t="shared" ref="N2:N21" si="2">VLOOKUP(D2,$L$2:$M$5,2,false)</f>
        <v>Devansh Rao</v>
      </c>
      <c r="O2" s="3" t="str">
        <f t="array" ref="O2">XLOOKUP(D2, L2:L5, M2:M5)</f>
        <v>Devansh Rao</v>
      </c>
    </row>
    <row r="3" ht="15.75" customHeight="1">
      <c r="A3" s="4">
        <v>1002.0</v>
      </c>
      <c r="B3" s="5">
        <v>45295.0</v>
      </c>
      <c r="C3" s="1" t="s">
        <v>17</v>
      </c>
      <c r="D3" s="1" t="s">
        <v>18</v>
      </c>
      <c r="E3" s="1" t="s">
        <v>19</v>
      </c>
      <c r="F3" s="1" t="s">
        <v>14</v>
      </c>
      <c r="G3" s="4">
        <v>25.0</v>
      </c>
      <c r="H3" s="4">
        <v>10.0</v>
      </c>
      <c r="I3" s="4">
        <v>250.0</v>
      </c>
      <c r="J3" s="1" t="str">
        <f t="shared" si="1"/>
        <v>Bulk</v>
      </c>
      <c r="L3" s="2" t="s">
        <v>18</v>
      </c>
      <c r="M3" s="2" t="s">
        <v>20</v>
      </c>
      <c r="N3" s="2" t="str">
        <f t="shared" si="2"/>
        <v>Arjun Verma</v>
      </c>
      <c r="O3" s="3" t="str">
        <f t="array" ref="O3">XLOOKUP(D3, L2:L5, M2:M5)</f>
        <v>Arjun Verma</v>
      </c>
    </row>
    <row r="4" ht="15.75" customHeight="1">
      <c r="A4" s="4">
        <v>1003.0</v>
      </c>
      <c r="B4" s="5">
        <v>45296.0</v>
      </c>
      <c r="C4" s="1" t="s">
        <v>21</v>
      </c>
      <c r="D4" s="1" t="s">
        <v>15</v>
      </c>
      <c r="E4" s="1" t="s">
        <v>22</v>
      </c>
      <c r="F4" s="1" t="s">
        <v>23</v>
      </c>
      <c r="G4" s="4">
        <v>3.0</v>
      </c>
      <c r="H4" s="4">
        <v>600.0</v>
      </c>
      <c r="I4" s="4">
        <v>1800.0</v>
      </c>
      <c r="J4" s="1" t="str">
        <f t="shared" si="1"/>
        <v>Small</v>
      </c>
      <c r="L4" s="2" t="s">
        <v>24</v>
      </c>
      <c r="M4" s="2" t="s">
        <v>25</v>
      </c>
      <c r="N4" s="2" t="str">
        <f t="shared" si="2"/>
        <v>Ritu Sharma</v>
      </c>
      <c r="O4" s="3" t="str">
        <f t="array" ref="O4">XLOOKUP(D4, L2:L5, M2:M5)</f>
        <v>Ritu Sharma</v>
      </c>
    </row>
    <row r="5" ht="15.75" customHeight="1">
      <c r="A5" s="4">
        <v>1004.0</v>
      </c>
      <c r="B5" s="5">
        <v>45297.0</v>
      </c>
      <c r="C5" s="1" t="s">
        <v>26</v>
      </c>
      <c r="D5" s="1" t="s">
        <v>12</v>
      </c>
      <c r="E5" s="1" t="s">
        <v>13</v>
      </c>
      <c r="F5" s="1" t="s">
        <v>14</v>
      </c>
      <c r="G5" s="4">
        <v>15.0</v>
      </c>
      <c r="H5" s="4">
        <v>45.0</v>
      </c>
      <c r="I5" s="4">
        <v>675.0</v>
      </c>
      <c r="J5" s="1" t="str">
        <f t="shared" si="1"/>
        <v>Bulk</v>
      </c>
      <c r="L5" s="2" t="s">
        <v>12</v>
      </c>
      <c r="M5" s="2" t="s">
        <v>27</v>
      </c>
      <c r="N5" s="2" t="str">
        <f t="shared" si="2"/>
        <v>Devansh Rao</v>
      </c>
      <c r="O5" s="3" t="str">
        <f t="array" ref="O5">XLOOKUP(D5, L2:L5, M2:M5)</f>
        <v>Devansh Rao</v>
      </c>
    </row>
    <row r="6" ht="15.75" customHeight="1">
      <c r="A6" s="4">
        <v>1005.0</v>
      </c>
      <c r="B6" s="5">
        <v>45298.0</v>
      </c>
      <c r="C6" s="1" t="s">
        <v>28</v>
      </c>
      <c r="D6" s="1" t="s">
        <v>24</v>
      </c>
      <c r="E6" s="1" t="s">
        <v>29</v>
      </c>
      <c r="F6" s="1" t="s">
        <v>30</v>
      </c>
      <c r="G6" s="4">
        <v>2.0</v>
      </c>
      <c r="H6" s="4">
        <v>900.0</v>
      </c>
      <c r="I6" s="4">
        <v>1800.0</v>
      </c>
      <c r="J6" s="1" t="str">
        <f t="shared" si="1"/>
        <v>Small</v>
      </c>
      <c r="N6" s="2" t="str">
        <f t="shared" si="2"/>
        <v>Farah Khan</v>
      </c>
      <c r="O6" s="3" t="str">
        <f t="array" ref="O6">XLOOKUP(D6, L2:L5, M2:M5)</f>
        <v>Farah Khan</v>
      </c>
    </row>
    <row r="7" ht="15.75" customHeight="1">
      <c r="A7" s="4">
        <v>1006.0</v>
      </c>
      <c r="B7" s="5">
        <v>45299.0</v>
      </c>
      <c r="C7" s="1" t="s">
        <v>11</v>
      </c>
      <c r="D7" s="1" t="s">
        <v>12</v>
      </c>
      <c r="E7" s="1" t="s">
        <v>19</v>
      </c>
      <c r="F7" s="1" t="s">
        <v>14</v>
      </c>
      <c r="G7" s="4">
        <v>50.0</v>
      </c>
      <c r="H7" s="4">
        <v>10.0</v>
      </c>
      <c r="I7" s="4">
        <v>500.0</v>
      </c>
      <c r="J7" s="1" t="str">
        <f t="shared" si="1"/>
        <v>Bulk</v>
      </c>
      <c r="N7" s="2" t="str">
        <f t="shared" si="2"/>
        <v>Devansh Rao</v>
      </c>
      <c r="O7" s="3" t="str">
        <f t="array" ref="O7">XLOOKUP(D7, L2:L5, M2:M5)</f>
        <v>Devansh Rao</v>
      </c>
    </row>
    <row r="8" ht="15.75" customHeight="1">
      <c r="A8" s="4">
        <v>1007.0</v>
      </c>
      <c r="B8" s="5">
        <v>45300.0</v>
      </c>
      <c r="C8" s="1" t="s">
        <v>31</v>
      </c>
      <c r="D8" s="1" t="s">
        <v>18</v>
      </c>
      <c r="E8" s="1" t="s">
        <v>22</v>
      </c>
      <c r="F8" s="1" t="s">
        <v>23</v>
      </c>
      <c r="G8" s="4">
        <v>4.0</v>
      </c>
      <c r="H8" s="4">
        <v>600.0</v>
      </c>
      <c r="I8" s="4">
        <v>2400.0</v>
      </c>
      <c r="J8" s="1" t="str">
        <f t="shared" si="1"/>
        <v>Small</v>
      </c>
      <c r="N8" s="2" t="str">
        <f t="shared" si="2"/>
        <v>Arjun Verma</v>
      </c>
      <c r="O8" s="3" t="str">
        <f t="array" ref="O8">XLOOKUP(D8, L2:L5, M2:M5)</f>
        <v>Arjun Verma</v>
      </c>
    </row>
    <row r="9" ht="15.75" customHeight="1">
      <c r="A9" s="4">
        <v>1008.0</v>
      </c>
      <c r="B9" s="5">
        <v>45301.0</v>
      </c>
      <c r="C9" s="1" t="s">
        <v>21</v>
      </c>
      <c r="D9" s="1" t="s">
        <v>15</v>
      </c>
      <c r="E9" s="1" t="s">
        <v>13</v>
      </c>
      <c r="F9" s="1" t="s">
        <v>14</v>
      </c>
      <c r="G9" s="4">
        <v>20.0</v>
      </c>
      <c r="H9" s="4">
        <v>45.0</v>
      </c>
      <c r="I9" s="4">
        <v>900.0</v>
      </c>
      <c r="J9" s="1" t="str">
        <f t="shared" si="1"/>
        <v>Bulk</v>
      </c>
      <c r="N9" s="2" t="str">
        <f t="shared" si="2"/>
        <v>Ritu Sharma</v>
      </c>
      <c r="O9" s="3" t="str">
        <f t="array" ref="O9">XLOOKUP(D9, L2:L5, M2:M5)</f>
        <v>Ritu Sharma</v>
      </c>
    </row>
    <row r="10" ht="15.75" customHeight="1">
      <c r="A10" s="4">
        <v>1009.0</v>
      </c>
      <c r="B10" s="5">
        <v>45302.0</v>
      </c>
      <c r="C10" s="1" t="s">
        <v>32</v>
      </c>
      <c r="D10" s="1" t="s">
        <v>24</v>
      </c>
      <c r="E10" s="1" t="s">
        <v>29</v>
      </c>
      <c r="F10" s="1" t="s">
        <v>30</v>
      </c>
      <c r="G10" s="4">
        <v>1.0</v>
      </c>
      <c r="H10" s="4">
        <v>900.0</v>
      </c>
      <c r="I10" s="4">
        <v>900.0</v>
      </c>
      <c r="J10" s="1" t="str">
        <f t="shared" si="1"/>
        <v>Small</v>
      </c>
      <c r="N10" s="2" t="str">
        <f t="shared" si="2"/>
        <v>Farah Khan</v>
      </c>
      <c r="O10" s="3" t="str">
        <f t="array" ref="O10">XLOOKUP(D10, L2:L5, M2:M5)</f>
        <v>Farah Khan</v>
      </c>
    </row>
    <row r="11" ht="15.75" customHeight="1">
      <c r="A11" s="4">
        <v>1010.0</v>
      </c>
      <c r="B11" s="5">
        <v>45303.0</v>
      </c>
      <c r="C11" s="1" t="s">
        <v>17</v>
      </c>
      <c r="D11" s="1" t="s">
        <v>18</v>
      </c>
      <c r="E11" s="1" t="s">
        <v>19</v>
      </c>
      <c r="F11" s="1" t="s">
        <v>14</v>
      </c>
      <c r="G11" s="4">
        <v>30.0</v>
      </c>
      <c r="H11" s="4">
        <v>10.0</v>
      </c>
      <c r="I11" s="4">
        <v>300.0</v>
      </c>
      <c r="J11" s="1" t="str">
        <f t="shared" si="1"/>
        <v>Bulk</v>
      </c>
      <c r="N11" s="2" t="str">
        <f t="shared" si="2"/>
        <v>Arjun Verma</v>
      </c>
      <c r="O11" s="3" t="str">
        <f t="array" ref="O11">XLOOKUP(D11, L2:L5, M2:M5)</f>
        <v>Arjun Verma</v>
      </c>
    </row>
    <row r="12" ht="15.75" customHeight="1">
      <c r="A12" s="4">
        <v>1011.0</v>
      </c>
      <c r="B12" s="5">
        <v>45304.0</v>
      </c>
      <c r="C12" s="1" t="s">
        <v>26</v>
      </c>
      <c r="D12" s="1" t="s">
        <v>12</v>
      </c>
      <c r="E12" s="1" t="s">
        <v>22</v>
      </c>
      <c r="F12" s="1" t="s">
        <v>23</v>
      </c>
      <c r="G12" s="4">
        <v>2.0</v>
      </c>
      <c r="H12" s="4">
        <v>600.0</v>
      </c>
      <c r="I12" s="4">
        <v>1200.0</v>
      </c>
      <c r="J12" s="1" t="str">
        <f t="shared" si="1"/>
        <v>Small</v>
      </c>
      <c r="N12" s="2" t="str">
        <f t="shared" si="2"/>
        <v>Devansh Rao</v>
      </c>
      <c r="O12" s="3" t="str">
        <f t="array" ref="O12">XLOOKUP(D12, L2:L5, M2:M5)</f>
        <v>Devansh Rao</v>
      </c>
    </row>
    <row r="13" ht="15.75" customHeight="1">
      <c r="A13" s="4">
        <v>1012.0</v>
      </c>
      <c r="B13" s="5">
        <v>45305.0</v>
      </c>
      <c r="C13" s="1" t="s">
        <v>28</v>
      </c>
      <c r="D13" s="1" t="s">
        <v>24</v>
      </c>
      <c r="E13" s="1" t="s">
        <v>13</v>
      </c>
      <c r="F13" s="1" t="s">
        <v>14</v>
      </c>
      <c r="G13" s="4">
        <v>12.0</v>
      </c>
      <c r="H13" s="4">
        <v>45.0</v>
      </c>
      <c r="I13" s="4">
        <v>540.0</v>
      </c>
      <c r="J13" s="1" t="str">
        <f t="shared" si="1"/>
        <v>Bulk</v>
      </c>
      <c r="N13" s="2" t="str">
        <f t="shared" si="2"/>
        <v>Farah Khan</v>
      </c>
      <c r="O13" s="3" t="str">
        <f t="array" ref="O13">XLOOKUP(D13, L2:L5, M2:M5)</f>
        <v>Farah Khan</v>
      </c>
    </row>
    <row r="14" ht="15.75" customHeight="1">
      <c r="A14" s="4">
        <v>1013.0</v>
      </c>
      <c r="B14" s="5">
        <v>45306.0</v>
      </c>
      <c r="C14" s="1" t="s">
        <v>31</v>
      </c>
      <c r="D14" s="1" t="s">
        <v>18</v>
      </c>
      <c r="E14" s="1" t="s">
        <v>29</v>
      </c>
      <c r="F14" s="1" t="s">
        <v>30</v>
      </c>
      <c r="G14" s="4">
        <v>3.0</v>
      </c>
      <c r="H14" s="4">
        <v>900.0</v>
      </c>
      <c r="I14" s="4">
        <v>2700.0</v>
      </c>
      <c r="J14" s="1" t="str">
        <f t="shared" si="1"/>
        <v>Small</v>
      </c>
      <c r="N14" s="2" t="str">
        <f t="shared" si="2"/>
        <v>Arjun Verma</v>
      </c>
      <c r="O14" s="3" t="str">
        <f t="array" ref="O14">XLOOKUP(D14, L2:L5, M2:M5)</f>
        <v>Arjun Verma</v>
      </c>
    </row>
    <row r="15" ht="15.75" customHeight="1">
      <c r="A15" s="4">
        <v>1014.0</v>
      </c>
      <c r="B15" s="5">
        <v>45307.0</v>
      </c>
      <c r="C15" s="1" t="s">
        <v>32</v>
      </c>
      <c r="D15" s="1" t="s">
        <v>24</v>
      </c>
      <c r="E15" s="1" t="s">
        <v>19</v>
      </c>
      <c r="F15" s="1" t="s">
        <v>14</v>
      </c>
      <c r="G15" s="4">
        <v>40.0</v>
      </c>
      <c r="H15" s="4">
        <v>10.0</v>
      </c>
      <c r="I15" s="4">
        <v>400.0</v>
      </c>
      <c r="J15" s="1" t="str">
        <f t="shared" si="1"/>
        <v>Bulk</v>
      </c>
      <c r="N15" s="2" t="str">
        <f t="shared" si="2"/>
        <v>Farah Khan</v>
      </c>
      <c r="O15" s="3" t="str">
        <f t="array" ref="O15">XLOOKUP(D15, L2:L5, M2:M5)</f>
        <v>Farah Khan</v>
      </c>
    </row>
    <row r="16" ht="15.75" customHeight="1">
      <c r="A16" s="4">
        <v>1015.0</v>
      </c>
      <c r="B16" s="5">
        <v>45308.0</v>
      </c>
      <c r="C16" s="1" t="s">
        <v>11</v>
      </c>
      <c r="D16" s="1" t="s">
        <v>12</v>
      </c>
      <c r="E16" s="1" t="s">
        <v>22</v>
      </c>
      <c r="F16" s="1" t="s">
        <v>23</v>
      </c>
      <c r="G16" s="4">
        <v>1.0</v>
      </c>
      <c r="H16" s="4">
        <v>600.0</v>
      </c>
      <c r="I16" s="4">
        <v>600.0</v>
      </c>
      <c r="J16" s="1" t="str">
        <f t="shared" si="1"/>
        <v>Small</v>
      </c>
      <c r="N16" s="2" t="str">
        <f t="shared" si="2"/>
        <v>Devansh Rao</v>
      </c>
      <c r="O16" s="3" t="str">
        <f t="array" ref="O16">XLOOKUP(D16, L2:L5, M2:M5)</f>
        <v>Devansh Rao</v>
      </c>
    </row>
    <row r="17" ht="15.75" customHeight="1">
      <c r="A17" s="4">
        <v>1016.0</v>
      </c>
      <c r="B17" s="5">
        <v>45309.0</v>
      </c>
      <c r="C17" s="1" t="s">
        <v>21</v>
      </c>
      <c r="D17" s="1" t="s">
        <v>15</v>
      </c>
      <c r="E17" s="1" t="s">
        <v>29</v>
      </c>
      <c r="F17" s="1" t="s">
        <v>30</v>
      </c>
      <c r="G17" s="4">
        <v>2.0</v>
      </c>
      <c r="H17" s="4">
        <v>900.0</v>
      </c>
      <c r="I17" s="4">
        <v>1800.0</v>
      </c>
      <c r="J17" s="1" t="str">
        <f t="shared" si="1"/>
        <v>Small</v>
      </c>
      <c r="N17" s="2" t="str">
        <f t="shared" si="2"/>
        <v>Ritu Sharma</v>
      </c>
      <c r="O17" s="3" t="str">
        <f t="array" ref="O17">XLOOKUP(D17, L2:L5, M2:M5)</f>
        <v>Ritu Sharma</v>
      </c>
    </row>
    <row r="18" ht="15.75" customHeight="1">
      <c r="A18" s="4">
        <v>1017.0</v>
      </c>
      <c r="B18" s="5">
        <v>45310.0</v>
      </c>
      <c r="C18" s="1" t="s">
        <v>17</v>
      </c>
      <c r="D18" s="1" t="s">
        <v>18</v>
      </c>
      <c r="E18" s="1" t="s">
        <v>13</v>
      </c>
      <c r="F18" s="1" t="s">
        <v>14</v>
      </c>
      <c r="G18" s="4">
        <v>18.0</v>
      </c>
      <c r="H18" s="4">
        <v>45.0</v>
      </c>
      <c r="I18" s="4">
        <v>810.0</v>
      </c>
      <c r="J18" s="1" t="str">
        <f t="shared" si="1"/>
        <v>Bulk</v>
      </c>
      <c r="N18" s="2" t="str">
        <f t="shared" si="2"/>
        <v>Arjun Verma</v>
      </c>
      <c r="O18" s="3" t="str">
        <f t="array" ref="O18">XLOOKUP(D18, L2:L5, M2:M5)</f>
        <v>Arjun Verma</v>
      </c>
    </row>
    <row r="19" ht="15.75" customHeight="1">
      <c r="A19" s="4">
        <v>1018.0</v>
      </c>
      <c r="B19" s="5">
        <v>45311.0</v>
      </c>
      <c r="C19" s="1" t="s">
        <v>26</v>
      </c>
      <c r="D19" s="1" t="s">
        <v>12</v>
      </c>
      <c r="E19" s="1" t="s">
        <v>19</v>
      </c>
      <c r="F19" s="1" t="s">
        <v>14</v>
      </c>
      <c r="G19" s="4">
        <v>35.0</v>
      </c>
      <c r="H19" s="4">
        <v>10.0</v>
      </c>
      <c r="I19" s="4">
        <v>350.0</v>
      </c>
      <c r="J19" s="1" t="str">
        <f t="shared" si="1"/>
        <v>Bulk</v>
      </c>
      <c r="N19" s="2" t="str">
        <f t="shared" si="2"/>
        <v>Devansh Rao</v>
      </c>
      <c r="O19" s="3" t="str">
        <f t="array" ref="O19">XLOOKUP(D19, L2:L5, M2:M5)</f>
        <v>Devansh Rao</v>
      </c>
    </row>
    <row r="20" ht="15.75" customHeight="1">
      <c r="A20" s="4">
        <v>1019.0</v>
      </c>
      <c r="B20" s="5">
        <v>45312.0</v>
      </c>
      <c r="C20" s="1" t="s">
        <v>28</v>
      </c>
      <c r="D20" s="1" t="s">
        <v>24</v>
      </c>
      <c r="E20" s="1" t="s">
        <v>22</v>
      </c>
      <c r="F20" s="1" t="s">
        <v>23</v>
      </c>
      <c r="G20" s="4">
        <v>5.0</v>
      </c>
      <c r="H20" s="4">
        <v>600.0</v>
      </c>
      <c r="I20" s="4">
        <v>3000.0</v>
      </c>
      <c r="J20" s="1" t="str">
        <f t="shared" si="1"/>
        <v>Small</v>
      </c>
      <c r="N20" s="2" t="str">
        <f t="shared" si="2"/>
        <v>Farah Khan</v>
      </c>
      <c r="O20" s="3" t="str">
        <f t="array" ref="O20">XLOOKUP(D20, L2:L5, M2:M5)</f>
        <v>Farah Khan</v>
      </c>
    </row>
    <row r="21" ht="15.75" customHeight="1">
      <c r="A21" s="4">
        <v>1020.0</v>
      </c>
      <c r="B21" s="5">
        <v>45313.0</v>
      </c>
      <c r="C21" s="1" t="s">
        <v>31</v>
      </c>
      <c r="D21" s="1" t="s">
        <v>18</v>
      </c>
      <c r="E21" s="1" t="s">
        <v>13</v>
      </c>
      <c r="F21" s="1" t="s">
        <v>14</v>
      </c>
      <c r="G21" s="4">
        <v>22.0</v>
      </c>
      <c r="H21" s="4">
        <v>45.0</v>
      </c>
      <c r="I21" s="4">
        <v>990.0</v>
      </c>
      <c r="J21" s="1" t="str">
        <f t="shared" si="1"/>
        <v>Bulk</v>
      </c>
      <c r="N21" s="2" t="str">
        <f t="shared" si="2"/>
        <v>Arjun Verma</v>
      </c>
      <c r="O21" s="3" t="str">
        <f t="array" ref="O21">XLOOKUP(D21, L2:L5, M2:M5)</f>
        <v>Arjun Verma</v>
      </c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2"/>
</worksheet>
</file>